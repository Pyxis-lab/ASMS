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Pyxis_work_branch\programming\Project_Photos\Yi_fang\"/>
    </mc:Choice>
  </mc:AlternateContent>
  <xr:revisionPtr revIDLastSave="0" documentId="13_ncr:1_{58EBCE92-5AC9-4CB7-A959-A12E70A01AD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</calcChain>
</file>

<file path=xl/sharedStrings.xml><?xml version="1.0" encoding="utf-8"?>
<sst xmlns="http://schemas.openxmlformats.org/spreadsheetml/2006/main" count="39" uniqueCount="35">
  <si>
    <t>试用项目表（List of Items for Trial Use）</t>
  </si>
  <si>
    <t>SN</t>
  </si>
  <si>
    <t>PN</t>
  </si>
  <si>
    <t>云南朝锐仪器有限公司</t>
  </si>
  <si>
    <t>沈平</t>
  </si>
  <si>
    <t>7天</t>
  </si>
  <si>
    <t>是</t>
  </si>
  <si>
    <t>否</t>
  </si>
  <si>
    <t>ST-730B</t>
  </si>
  <si>
    <t>1台</t>
  </si>
  <si>
    <t>大理市生态环境局大理分局生态环境监测站下关幸福路66号，张老师，13708640666</t>
  </si>
  <si>
    <t>CJK221014-TA001</t>
  </si>
  <si>
    <t>SF1157000698196</t>
  </si>
  <si>
    <t>DB20221018012</t>
  </si>
  <si>
    <t>计划库</t>
  </si>
  <si>
    <t xml:space="preserve"> 客户名称</t>
  </si>
  <si>
    <t>项目负责人</t>
  </si>
  <si>
    <t>项目现场</t>
  </si>
  <si>
    <t>试用时间</t>
  </si>
  <si>
    <t>试用周期</t>
  </si>
  <si>
    <t>到期时间</t>
  </si>
  <si>
    <t>已试用时间</t>
  </si>
  <si>
    <t>是否超期</t>
  </si>
  <si>
    <t>是否完结</t>
  </si>
  <si>
    <t>是否转销售</t>
  </si>
  <si>
    <t>销售金额</t>
  </si>
  <si>
    <t>产品名称</t>
  </si>
  <si>
    <t>数量</t>
  </si>
  <si>
    <t>收货信息</t>
  </si>
  <si>
    <t>合同号</t>
  </si>
  <si>
    <t>物流信息</t>
  </si>
  <si>
    <t>出库单号</t>
  </si>
  <si>
    <t>拿货仓库</t>
  </si>
  <si>
    <t>备注</t>
  </si>
  <si>
    <t>还回时间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</si>
</sst>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_);[Red]\(0\)"/>
  </numFmts>
  <fonts count="3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168" fontId="1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2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0006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topLeftCell="G2" workbookViewId="0">
      <selection activeCell="M3" sqref="M3"/>
    </sheetView>
  </sheetViews>
  <sheetFormatPr defaultColWidth="8.7265625" defaultRowHeight="14.5"/>
  <cols>
    <col min="1" max="1" width="21.81640625" customWidth="1"/>
    <col min="2" max="2" width="13.08984375" customWidth="1"/>
    <col min="3" max="4" width="12.453125" customWidth="1"/>
    <col min="6" max="7" width="12.90625" customWidth="1"/>
    <col min="8" max="8" width="11.1796875" customWidth="1"/>
    <col min="9" max="10" width="12.90625" customWidth="1"/>
    <col min="13" max="13" width="11.90625" customWidth="1"/>
    <col min="14" max="14" width="12.1796875" customWidth="1"/>
    <col min="18" max="18" width="27.6328125" customWidth="1"/>
    <col min="19" max="19" width="16.81640625" customWidth="1"/>
    <col min="20" max="20" width="21.54296875" customWidth="1"/>
    <col min="21" max="21" width="12.90625" customWidth="1"/>
    <col min="22" max="22" width="13.26953125" customWidth="1"/>
  </cols>
  <sheetData>
    <row r="1" spans="1:24" ht="44" customHeight="1">
      <c r="A1" t="s">
        <v>0</v>
      </c>
    </row>
    <row r="2" spans="1:24" s="1" customFormat="1" ht="54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L2" s="4" t="s">
        <v>25</v>
      </c>
      <c r="M2" s="3" t="s">
        <v>34</v>
      </c>
      <c r="N2" s="3" t="s">
        <v>26</v>
      </c>
      <c r="O2" s="3" t="s">
        <v>27</v>
      </c>
      <c r="P2" s="3" t="s">
        <v>1</v>
      </c>
      <c r="Q2" s="3" t="s">
        <v>2</v>
      </c>
      <c r="R2" s="3" t="s">
        <v>28</v>
      </c>
      <c r="S2" s="3" t="s">
        <v>29</v>
      </c>
      <c r="T2" s="3" t="s">
        <v>30</v>
      </c>
      <c r="U2" s="3" t="s">
        <v>31</v>
      </c>
      <c r="V2" s="3" t="s">
        <v>32</v>
      </c>
      <c r="W2" s="3" t="s">
        <v>33</v>
      </c>
      <c r="X2" s="3"/>
    </row>
    <row r="3" spans="1:24" s="2" customFormat="1" ht="196" customHeight="1">
      <c r="A3" s="5" t="s">
        <v>3</v>
      </c>
      <c r="B3" s="5" t="s">
        <v>4</v>
      </c>
      <c r="C3" s="5"/>
      <c r="D3" s="6">
        <v>44854</v>
      </c>
      <c r="E3" s="5" t="s">
        <v>5</v>
      </c>
      <c r="F3" s="6">
        <v>44862</v>
      </c>
      <c r="G3" s="7">
        <f ca="1">IF(ISBLANK(F3),"NA",TODAY()-F3)</f>
        <v>1355</v>
      </c>
      <c r="H3" s="8" t="str">
        <f ca="1">IF(G3&gt;30,"超期",IF(G3&gt;0,"到期","未到期"))</f>
        <v>超期</v>
      </c>
      <c r="I3" s="6" t="s">
        <v>6</v>
      </c>
      <c r="J3" s="6" t="s">
        <v>7</v>
      </c>
      <c r="L3" s="9">
        <v>5457</v>
      </c>
      <c r="M3" s="6">
        <v>44859</v>
      </c>
      <c r="N3" s="5" t="s">
        <v>8</v>
      </c>
      <c r="O3" s="5" t="s">
        <v>9</v>
      </c>
      <c r="P3" s="5">
        <v>210072</v>
      </c>
      <c r="Q3" s="5">
        <v>53202</v>
      </c>
      <c r="R3" s="5" t="s">
        <v>10</v>
      </c>
      <c r="S3" s="5" t="s">
        <v>11</v>
      </c>
      <c r="T3" s="5" t="s">
        <v>12</v>
      </c>
      <c r="U3" s="5" t="s">
        <v>13</v>
      </c>
      <c r="V3" s="5" t="s">
        <v>14</v>
      </c>
      <c r="W3" s="5"/>
      <c r="X3" s="5"/>
    </row>
    <row r="4" spans="1:24">
      <c r="D4" s="6">
        <v>46194</v>
      </c>
      <c r="E4" s="5" t="s">
        <v>5</v>
      </c>
      <c r="F4" s="6">
        <v>46204</v>
      </c>
      <c r="G4" s="7">
        <f t="shared" ref="G4:G7" ca="1" si="0">IF(ISBLANK(F4),"NA",TODAY()-F4)</f>
        <v>13</v>
      </c>
      <c r="H4" s="8" t="str">
        <f t="shared" ref="H4:H7" ca="1" si="1">IF(G4&gt;30,"超期",IF(G4&gt;0,"到期","未到期"))</f>
        <v>到期</v>
      </c>
    </row>
    <row r="5" spans="1:24">
      <c r="D5" s="6">
        <v>44856</v>
      </c>
      <c r="E5" s="5" t="s">
        <v>5</v>
      </c>
      <c r="F5" s="6">
        <v>44854</v>
      </c>
      <c r="G5" s="7">
        <f t="shared" ca="1" si="0"/>
        <v>1363</v>
      </c>
      <c r="H5" s="8" t="str">
        <f t="shared" ca="1" si="1"/>
        <v>超期</v>
      </c>
    </row>
    <row r="6" spans="1:24">
      <c r="D6" s="6">
        <v>44857</v>
      </c>
      <c r="E6" s="5" t="s">
        <v>5</v>
      </c>
      <c r="F6" s="6">
        <v>44864</v>
      </c>
      <c r="G6" s="7">
        <f t="shared" ca="1" si="0"/>
        <v>1353</v>
      </c>
      <c r="H6" s="8" t="str">
        <f t="shared" ca="1" si="1"/>
        <v>超期</v>
      </c>
    </row>
    <row r="7" spans="1:24">
      <c r="D7" s="6">
        <v>46198</v>
      </c>
      <c r="E7" s="5" t="s">
        <v>5</v>
      </c>
      <c r="F7" s="6">
        <v>46206</v>
      </c>
      <c r="G7" s="7">
        <f t="shared" ca="1" si="0"/>
        <v>11</v>
      </c>
      <c r="H7" s="8" t="str">
        <f t="shared" ca="1" si="1"/>
        <v>到期</v>
      </c>
    </row>
  </sheetData>
  <conditionalFormatting sqref="L3 H3:H7">
    <cfRule type="cellIs" dxfId="5" priority="1" operator="equal">
      <formula>"超期"</formula>
    </cfRule>
    <cfRule type="cellIs" dxfId="4" priority="2" operator="equal">
      <formula>"到期"</formula>
    </cfRule>
    <cfRule type="cellIs" dxfId="3" priority="3" operator="equal">
      <formula>"未到期"</formula>
    </cfRule>
    <cfRule type="expression" dxfId="2" priority="5">
      <formula>"OR($F$2TADAY&gt;30) =是"</formula>
    </cfRule>
    <cfRule type="expression" dxfId="1" priority="6">
      <formula>"OR($F$2-TADAY&gt;30) "</formula>
    </cfRule>
    <cfRule type="cellIs" dxfId="0" priority="7" operator="greaterThan">
      <formula>$F$3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TANVIR ISLAM</cp:lastModifiedBy>
  <dcterms:created xsi:type="dcterms:W3CDTF">2026-07-14T02:25:21Z</dcterms:created>
  <dcterms:modified xsi:type="dcterms:W3CDTF">2026-07-14T07:12:09Z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D89F7205B0C24CD78415DE65D5A0EFD4_11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